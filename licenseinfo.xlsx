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B31A2CFC-0B0C-46D0-98A8-972AF28A27DB}" xr6:coauthVersionLast="47" xr6:coauthVersionMax="47" xr10:uidLastSave="{00000000-0000-0000-0000-000000000000}"/>
  <bookViews>
    <workbookView xWindow="-120" yWindow="-120" windowWidth="20730" windowHeight="11040" activeTab="2" xr2:uid="{2FBA9936-036B-449E-87AC-830C770FFC0F}"/>
  </bookViews>
  <sheets>
    <sheet name="PPC" sheetId="1" r:id="rId1"/>
    <sheet name="HostInfo" sheetId="2" r:id="rId2"/>
    <sheet name="Licensesummary" sheetId="3" r:id="rId3"/>
  </sheets>
  <definedNames>
    <definedName name="_xlnm._FilterDatabase" localSheetId="0" hidden="1">PPC!$A$1:$D$12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B6" i="3"/>
  <c r="B5" i="3"/>
  <c r="B4" i="3"/>
  <c r="C4" i="3"/>
  <c r="C3" i="3"/>
  <c r="B3" i="3"/>
  <c r="A2" i="3" a="1"/>
  <c r="A2" i="3" s="1"/>
  <c r="D4" i="3" l="1"/>
  <c r="D3" i="3"/>
  <c r="D5" i="3"/>
  <c r="D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<sst xmlns="http://schemas.openxmlformats.org/spreadsheetml/2006/main" count="46" uniqueCount="28">
  <si>
    <t>Servertype</t>
  </si>
  <si>
    <t>physical</t>
  </si>
  <si>
    <t>virual</t>
  </si>
  <si>
    <t>servername</t>
  </si>
  <si>
    <t>abc</t>
  </si>
  <si>
    <t>dvf</t>
  </si>
  <si>
    <t>cer</t>
  </si>
  <si>
    <t>eadf</t>
  </si>
  <si>
    <t>axsrr</t>
  </si>
  <si>
    <t>dcrfr</t>
  </si>
  <si>
    <t>vitrual</t>
  </si>
  <si>
    <t>virtual</t>
  </si>
  <si>
    <t>dsd</t>
  </si>
  <si>
    <t>edition</t>
  </si>
  <si>
    <t>enterprise edition</t>
  </si>
  <si>
    <t>standard edition</t>
  </si>
  <si>
    <t>ESXHostTye</t>
  </si>
  <si>
    <t>Cores</t>
  </si>
  <si>
    <t>cores</t>
  </si>
  <si>
    <t>physical1</t>
  </si>
  <si>
    <t>virtual1</t>
  </si>
  <si>
    <t>Enterprisecores</t>
  </si>
  <si>
    <t>standardcores</t>
  </si>
  <si>
    <t>gdg</t>
  </si>
  <si>
    <t>efwf</t>
  </si>
  <si>
    <t>fr</t>
  </si>
  <si>
    <t>grg</t>
  </si>
  <si>
    <t>hostcores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</si>
</sst>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83A4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9B15-2F20-4DE0-85A4-CC430BA1CD55}">
  <dimension ref="A1:D12"/>
  <sheetViews>
    <sheetView workbookViewId="0">
      <selection activeCell="C12" sqref="C12"/>
    </sheetView>
  </sheetViews>
  <sheetFormatPr defaultRowHeight="15" x14ac:dyDescent="0.25"/>
  <cols>
    <col min="3" max="3" width="17.42578125" bestFit="1" customWidth="1"/>
  </cols>
  <sheetData>
    <row r="1" spans="1:4" x14ac:dyDescent="0.25">
      <c r="A1" t="s">
        <v>0</v>
      </c>
      <c r="B1" t="s">
        <v>3</v>
      </c>
      <c r="C1" t="s">
        <v>13</v>
      </c>
      <c r="D1" t="s">
        <v>18</v>
      </c>
    </row>
    <row r="2" spans="1:4" x14ac:dyDescent="0.25">
      <c r="A2" t="s">
        <v>1</v>
      </c>
      <c r="B2" t="s">
        <v>4</v>
      </c>
      <c r="C2" t="s">
        <v>14</v>
      </c>
      <c r="D2">
        <v>2</v>
      </c>
    </row>
    <row r="3" spans="1:4" x14ac:dyDescent="0.25">
      <c r="A3" t="s">
        <v>2</v>
      </c>
      <c r="B3" t="s">
        <v>5</v>
      </c>
      <c r="C3" t="s">
        <v>14</v>
      </c>
      <c r="D3">
        <v>6</v>
      </c>
    </row>
    <row r="4" spans="1:4" x14ac:dyDescent="0.25">
      <c r="A4" t="s">
        <v>1</v>
      </c>
      <c r="B4" t="s">
        <v>6</v>
      </c>
      <c r="C4" t="s">
        <v>15</v>
      </c>
      <c r="D4">
        <v>2</v>
      </c>
    </row>
    <row r="5" spans="1:4" x14ac:dyDescent="0.25">
      <c r="A5" t="s">
        <v>10</v>
      </c>
      <c r="B5" t="s">
        <v>7</v>
      </c>
      <c r="C5" t="s">
        <v>15</v>
      </c>
      <c r="D5">
        <v>6</v>
      </c>
    </row>
    <row r="6" spans="1:4" x14ac:dyDescent="0.25">
      <c r="A6" t="s">
        <v>11</v>
      </c>
      <c r="B6" t="s">
        <v>8</v>
      </c>
      <c r="C6" t="s">
        <v>14</v>
      </c>
      <c r="D6">
        <v>6</v>
      </c>
    </row>
    <row r="7" spans="1:4" x14ac:dyDescent="0.25">
      <c r="A7" t="s">
        <v>1</v>
      </c>
      <c r="B7" t="s">
        <v>9</v>
      </c>
      <c r="C7" t="s">
        <v>14</v>
      </c>
      <c r="D7">
        <v>2</v>
      </c>
    </row>
    <row r="8" spans="1:4" x14ac:dyDescent="0.25">
      <c r="A8" t="s">
        <v>11</v>
      </c>
      <c r="B8" t="s">
        <v>12</v>
      </c>
      <c r="C8" t="s">
        <v>14</v>
      </c>
      <c r="D8">
        <v>6</v>
      </c>
    </row>
    <row r="9" spans="1:4" x14ac:dyDescent="0.25">
      <c r="A9" t="s">
        <v>20</v>
      </c>
      <c r="B9" t="s">
        <v>23</v>
      </c>
      <c r="C9" t="s">
        <v>14</v>
      </c>
      <c r="D9">
        <v>55</v>
      </c>
    </row>
    <row r="10" spans="1:4" x14ac:dyDescent="0.25">
      <c r="A10" t="s">
        <v>19</v>
      </c>
      <c r="B10" t="s">
        <v>26</v>
      </c>
      <c r="C10" t="s">
        <v>14</v>
      </c>
      <c r="D10">
        <v>12</v>
      </c>
    </row>
    <row r="11" spans="1:4" x14ac:dyDescent="0.25">
      <c r="A11" t="s">
        <v>20</v>
      </c>
      <c r="B11" t="s">
        <v>24</v>
      </c>
      <c r="C11" t="s">
        <v>15</v>
      </c>
      <c r="D11">
        <v>16</v>
      </c>
    </row>
    <row r="12" spans="1:4" x14ac:dyDescent="0.25">
      <c r="A12" t="s">
        <v>19</v>
      </c>
      <c r="B12" t="s">
        <v>25</v>
      </c>
      <c r="C12" t="s">
        <v>15</v>
      </c>
      <c r="D1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5351-EB33-49AC-A305-5779A1847F46}">
  <dimension ref="A1:B5"/>
  <sheetViews>
    <sheetView workbookViewId="0">
      <selection activeCell="D13" sqref="D13"/>
    </sheetView>
  </sheetViews>
  <sheetFormatPr defaultRowHeight="15" x14ac:dyDescent="0.25"/>
  <cols>
    <col min="1" max="1" width="11.285156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</v>
      </c>
      <c r="B2">
        <v>10</v>
      </c>
    </row>
    <row r="3" spans="1:2" x14ac:dyDescent="0.25">
      <c r="A3" t="s">
        <v>11</v>
      </c>
      <c r="B3">
        <v>9</v>
      </c>
    </row>
    <row r="4" spans="1:2" x14ac:dyDescent="0.25">
      <c r="A4" t="s">
        <v>19</v>
      </c>
      <c r="B4">
        <v>3</v>
      </c>
    </row>
    <row r="5" spans="1:2" x14ac:dyDescent="0.25">
      <c r="A5" t="s">
        <v>20</v>
      </c>
      <c r="B5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1FC3-E632-481C-87D2-A494FAFF20EA}">
  <dimension ref="A2:D7"/>
  <sheetViews>
    <sheetView tabSelected="1" workbookViewId="0">
      <selection activeCell="A9" sqref="A9"/>
    </sheetView>
  </sheetViews>
  <sheetFormatPr defaultRowHeight="15" x14ac:dyDescent="0.25"/>
  <cols>
    <col min="1" max="1" width="12.42578125" bestFit="1" customWidth="1"/>
    <col min="2" max="2" width="15" bestFit="1" customWidth="1"/>
    <col min="3" max="3" width="13.5703125" bestFit="1" customWidth="1"/>
    <col min="4" max="4" width="42.85546875" customWidth="1"/>
  </cols>
  <sheetData>
    <row r="2" spans="1:4" x14ac:dyDescent="0.25">
      <c r="A2" s="1" t="str" cm="1">
        <f t="array" ref="A2:A7">_xlfn.UNIQUE(HostInfo!A:A)</f>
        <v>ESXHostTye</v>
      </c>
      <c r="B2" t="s">
        <v>21</v>
      </c>
      <c r="C2" t="s">
        <v>22</v>
      </c>
      <c r="D2" t="s">
        <v>27</v>
      </c>
    </row>
    <row r="3" spans="1:4" x14ac:dyDescent="0.25">
      <c r="A3" t="str">
        <v>physical</v>
      </c>
      <c r="B3" s="1">
        <f xml:space="preserve"> SUMIFS(PPC!D:D, PPC!C:C, "*enterprise*", PPC!A:A, "*physical*")</f>
        <v>16</v>
      </c>
      <c r="C3" s="1">
        <f xml:space="preserve"> SUMIFS(PPC!D:D, PPC!C:C, "*STANDARD*", PPC!A:A, "*physical*")</f>
        <v>20</v>
      </c>
      <c r="D3">
        <f>SUMIF(HostInfo!A:A, A3, HostInfo!B:B)</f>
        <v>10</v>
      </c>
    </row>
    <row r="4" spans="1:4" x14ac:dyDescent="0.25">
      <c r="A4" t="str">
        <v>virtual</v>
      </c>
      <c r="B4" s="1">
        <f xml:space="preserve"> SUMIFS(PPC!D:D, PPC!C:C, "*enterprise*", PPC!A:A, "*virtual*")</f>
        <v>67</v>
      </c>
      <c r="C4" s="1">
        <f xml:space="preserve"> SUMIFS(PPC!D:D, PPC!C:C, "*STANDARD*", PPC!A:A, "*virtual*")</f>
        <v>16</v>
      </c>
      <c r="D4">
        <f>SUMIF(HostInfo!A:A, A4, HostInfo!B:B)</f>
        <v>9</v>
      </c>
    </row>
    <row r="5" spans="1:4" x14ac:dyDescent="0.25">
      <c r="A5" t="str">
        <v>physical1</v>
      </c>
      <c r="B5" s="1">
        <f xml:space="preserve"> SUMIFS(PPC!D:D, PPC!C:C, "*enterprise*", PPC!A:A, "*physical1*")</f>
        <v>12</v>
      </c>
      <c r="C5" s="1">
        <f xml:space="preserve"> SUMIFS(PPC!D:D, PPC!C:C, "*STANDARD*", PPC!A:A, "*physical1*")</f>
        <v>18</v>
      </c>
      <c r="D5">
        <f>SUMIF(HostInfo!A:A, A5, HostInfo!B:B)</f>
        <v>3</v>
      </c>
    </row>
    <row r="6" spans="1:4" x14ac:dyDescent="0.25">
      <c r="A6" t="str">
        <v>virtual1</v>
      </c>
      <c r="B6" s="1">
        <f xml:space="preserve"> SUMIFS(PPC!D:D, PPC!C:C, "*enterprise*", PPC!A:A, "*virtual1*")</f>
        <v>55</v>
      </c>
      <c r="C6" s="1">
        <f xml:space="preserve"> SUMIFS(PPC!D:D, PPC!C:C, "*STANDARD*", PPC!A:A, "*virtual1*")</f>
        <v>16</v>
      </c>
      <c r="D6">
        <f>SUMIF(HostInfo!A:A, A6, HostInfo!B:B)</f>
        <v>26</v>
      </c>
    </row>
    <row r="7" spans="1:4" x14ac:dyDescent="0.25">
      <c r="A7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PPC</vt:lpstr>
      <vt:lpstr>HostInfo</vt:lpstr>
      <vt:lpstr>Licensesummary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</dc:creator>
  <cp:lastModifiedBy>vijay v</cp:lastModifiedBy>
  <dcterms:created xsi:type="dcterms:W3CDTF">2025-04-27T15:58:00Z</dcterms:created>
  <dcterms:modified xsi:type="dcterms:W3CDTF">2025-04-27T16:23:07Z</dcterms:modified>
</cp:coreProperties>
</file>